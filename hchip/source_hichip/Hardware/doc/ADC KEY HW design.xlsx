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showInkAnnotation="0"/>
  <mc:AlternateContent xmlns:mc="http://schemas.openxmlformats.org/markup-compatibility/2006">
    <mc:Choice Requires="x15">
      <x15ac:absPath xmlns:x15ac="http://schemas.microsoft.com/office/spreadsheetml/2010/11/ac" url="D:\SOC\Datasheet\1512\"/>
    </mc:Choice>
  </mc:AlternateContent>
  <xr:revisionPtr revIDLastSave="0" documentId="13_ncr:1_{221DF674-5D24-4443-A94D-74D29242F9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校准方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3" i="2" l="1"/>
  <c r="G63" i="2"/>
  <c r="G62" i="2"/>
  <c r="F63" i="2"/>
  <c r="N54" i="2"/>
  <c r="N55" i="2"/>
  <c r="N56" i="2"/>
  <c r="N57" i="2"/>
  <c r="N58" i="2"/>
  <c r="N59" i="2"/>
  <c r="N60" i="2"/>
  <c r="N61" i="2"/>
  <c r="M57" i="2"/>
  <c r="M58" i="2"/>
  <c r="M59" i="2"/>
  <c r="M60" i="2"/>
  <c r="M61" i="2"/>
  <c r="M62" i="2"/>
  <c r="M55" i="2"/>
  <c r="M56" i="2"/>
  <c r="N31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32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33" i="2"/>
  <c r="N50" i="2"/>
  <c r="M32" i="2"/>
  <c r="K49" i="2"/>
  <c r="F50" i="2"/>
  <c r="G50" i="2"/>
  <c r="F31" i="2"/>
  <c r="G31" i="2"/>
  <c r="J31" i="2"/>
  <c r="F32" i="2"/>
  <c r="G32" i="2"/>
  <c r="F33" i="2"/>
  <c r="G33" i="2"/>
  <c r="C34" i="2"/>
  <c r="C35" i="2"/>
  <c r="F34" i="2"/>
  <c r="G34" i="2"/>
  <c r="F35" i="2"/>
  <c r="G35" i="2"/>
  <c r="F36" i="2"/>
  <c r="G36" i="2"/>
  <c r="I36" i="2"/>
  <c r="F37" i="2"/>
  <c r="G37" i="2"/>
  <c r="J37" i="2"/>
  <c r="F38" i="2"/>
  <c r="G38" i="2"/>
  <c r="F39" i="2"/>
  <c r="G39" i="2"/>
  <c r="F40" i="2"/>
  <c r="G40" i="2"/>
  <c r="F41" i="2"/>
  <c r="G41" i="2"/>
  <c r="J41" i="2"/>
  <c r="F42" i="2"/>
  <c r="G42" i="2"/>
  <c r="F43" i="2"/>
  <c r="G43" i="2"/>
  <c r="F44" i="2"/>
  <c r="G44" i="2"/>
  <c r="I44" i="2"/>
  <c r="F45" i="2"/>
  <c r="G45" i="2"/>
  <c r="J45" i="2"/>
  <c r="F46" i="2"/>
  <c r="G46" i="2"/>
  <c r="F47" i="2"/>
  <c r="G47" i="2"/>
  <c r="H47" i="2"/>
  <c r="F48" i="2"/>
  <c r="G48" i="2"/>
  <c r="J48" i="2"/>
  <c r="F49" i="2"/>
  <c r="G49" i="2"/>
  <c r="H49" i="2"/>
  <c r="F54" i="2"/>
  <c r="G54" i="2"/>
  <c r="H54" i="2"/>
  <c r="F55" i="2"/>
  <c r="G55" i="2"/>
  <c r="J55" i="2"/>
  <c r="F56" i="2"/>
  <c r="G56" i="2"/>
  <c r="H56" i="2"/>
  <c r="C57" i="2"/>
  <c r="C58" i="2"/>
  <c r="F57" i="2"/>
  <c r="G57" i="2"/>
  <c r="H57" i="2"/>
  <c r="F58" i="2"/>
  <c r="G58" i="2"/>
  <c r="H58" i="2"/>
  <c r="F59" i="2"/>
  <c r="G59" i="2"/>
  <c r="F60" i="2"/>
  <c r="G60" i="2"/>
  <c r="F61" i="2"/>
  <c r="G61" i="2"/>
  <c r="F62" i="2"/>
  <c r="H62" i="2"/>
  <c r="H50" i="2"/>
  <c r="J50" i="2"/>
  <c r="K50" i="2"/>
  <c r="L50" i="2"/>
  <c r="I50" i="2"/>
  <c r="I63" i="2"/>
  <c r="N62" i="2" s="1"/>
  <c r="J63" i="2"/>
  <c r="N63" i="2" s="1"/>
  <c r="J34" i="2"/>
  <c r="H34" i="2"/>
  <c r="J35" i="2"/>
  <c r="K35" i="2"/>
  <c r="L35" i="2"/>
  <c r="H35" i="2"/>
  <c r="J33" i="2"/>
  <c r="H33" i="2"/>
  <c r="I49" i="2"/>
  <c r="J61" i="2"/>
  <c r="H61" i="2"/>
  <c r="I61" i="2"/>
  <c r="J43" i="2"/>
  <c r="K43" i="2"/>
  <c r="L43" i="2"/>
  <c r="H43" i="2"/>
  <c r="J39" i="2"/>
  <c r="H39" i="2"/>
  <c r="K48" i="2"/>
  <c r="L48" i="2"/>
  <c r="I55" i="2"/>
  <c r="H55" i="2"/>
  <c r="H48" i="2"/>
  <c r="J62" i="2"/>
  <c r="I62" i="2"/>
  <c r="I60" i="2"/>
  <c r="J60" i="2"/>
  <c r="H59" i="2"/>
  <c r="I59" i="2"/>
  <c r="I46" i="2"/>
  <c r="K45" i="2"/>
  <c r="L45" i="2"/>
  <c r="H46" i="2"/>
  <c r="J46" i="2"/>
  <c r="J40" i="2"/>
  <c r="H40" i="2"/>
  <c r="I54" i="2"/>
  <c r="J54" i="2"/>
  <c r="J47" i="2"/>
  <c r="I47" i="2"/>
  <c r="K46" i="2"/>
  <c r="L46" i="2"/>
  <c r="J44" i="2"/>
  <c r="H44" i="2"/>
  <c r="H37" i="2"/>
  <c r="I37" i="2"/>
  <c r="J58" i="2"/>
  <c r="J57" i="2"/>
  <c r="J56" i="2"/>
  <c r="H41" i="2"/>
  <c r="I41" i="2"/>
  <c r="I38" i="2"/>
  <c r="K37" i="2"/>
  <c r="L37" i="2"/>
  <c r="H38" i="2"/>
  <c r="J38" i="2"/>
  <c r="H31" i="2"/>
  <c r="I31" i="2"/>
  <c r="H60" i="2"/>
  <c r="J59" i="2"/>
  <c r="I58" i="2"/>
  <c r="I57" i="2"/>
  <c r="I56" i="2"/>
  <c r="K55" i="2"/>
  <c r="L55" i="2"/>
  <c r="J49" i="2"/>
  <c r="I48" i="2"/>
  <c r="H45" i="2"/>
  <c r="I45" i="2"/>
  <c r="I42" i="2"/>
  <c r="K41" i="2"/>
  <c r="L41" i="2"/>
  <c r="H42" i="2"/>
  <c r="J42" i="2"/>
  <c r="I40" i="2"/>
  <c r="J36" i="2"/>
  <c r="H36" i="2"/>
  <c r="I32" i="2"/>
  <c r="K31" i="2"/>
  <c r="L31" i="2"/>
  <c r="H32" i="2"/>
  <c r="J32" i="2"/>
  <c r="I43" i="2"/>
  <c r="I39" i="2"/>
  <c r="I35" i="2"/>
  <c r="I34" i="2"/>
  <c r="I33" i="2"/>
  <c r="K33" i="2"/>
  <c r="L33" i="2"/>
  <c r="L49" i="2"/>
  <c r="K34" i="2"/>
  <c r="L34" i="2"/>
  <c r="K42" i="2"/>
  <c r="L42" i="2"/>
  <c r="K39" i="2"/>
  <c r="L39" i="2"/>
  <c r="K44" i="2"/>
  <c r="L44" i="2"/>
  <c r="K62" i="2"/>
  <c r="L62" i="2" s="1"/>
  <c r="K61" i="2"/>
  <c r="L61" i="2"/>
  <c r="K57" i="2"/>
  <c r="L57" i="2"/>
  <c r="K54" i="2"/>
  <c r="L54" i="2"/>
  <c r="K59" i="2"/>
  <c r="L59" i="2"/>
  <c r="K32" i="2"/>
  <c r="L32" i="2"/>
  <c r="K40" i="2"/>
  <c r="L40" i="2"/>
  <c r="K56" i="2"/>
  <c r="L56" i="2"/>
  <c r="K60" i="2"/>
  <c r="L60" i="2"/>
  <c r="K47" i="2"/>
  <c r="L47" i="2"/>
  <c r="K58" i="2"/>
  <c r="L58" i="2"/>
  <c r="K38" i="2"/>
  <c r="L38" i="2"/>
  <c r="K36" i="2"/>
  <c r="L36" i="2"/>
  <c r="K63" i="2" l="1"/>
  <c r="L63" i="2" s="1"/>
  <c r="M63" i="2"/>
</calcChain>
</file>

<file path=xl/sharedStrings.xml><?xml version="1.0" encoding="utf-8"?>
<sst xmlns="http://schemas.openxmlformats.org/spreadsheetml/2006/main" count="38" uniqueCount="20">
  <si>
    <t>Type</t>
  </si>
  <si>
    <t>Value</t>
  </si>
  <si>
    <t>KEY NO</t>
  </si>
  <si>
    <t>Rset</t>
  </si>
  <si>
    <t>RSUM</t>
  </si>
  <si>
    <t>VKEY</t>
  </si>
  <si>
    <t>MIN</t>
  </si>
  <si>
    <t>MAX</t>
  </si>
  <si>
    <t>Margin</t>
  </si>
  <si>
    <t>VDDIO电压</t>
  </si>
  <si>
    <t>上臂电阻</t>
  </si>
  <si>
    <t>下臂电阻</t>
  </si>
  <si>
    <t>ADC IN</t>
  </si>
  <si>
    <t>KREG</t>
  </si>
  <si>
    <t>ADC Margin</t>
  </si>
  <si>
    <t>ADC REG</t>
  </si>
  <si>
    <t>20KEY</t>
    <phoneticPr fontId="1" type="noConversion"/>
  </si>
  <si>
    <t>10KEY</t>
    <phoneticPr fontId="1" type="noConversion"/>
  </si>
  <si>
    <t>SW LOW</t>
    <phoneticPr fontId="1" type="noConversion"/>
  </si>
  <si>
    <t>SW HIGH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</si>
</sst>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5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color theme="0"/>
      <name val="宋体"/>
      <family val="3"/>
      <charset val="134"/>
    </font>
    <font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 vertical="center"/>
    </xf>
    <xf numFmtId="0" fontId="3" fillId="2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/>
    <xf numFmtId="176" fontId="4" fillId="0" borderId="1" xfId="0" applyNumberFormat="1" applyFont="1" applyBorder="1"/>
    <xf numFmtId="176" fontId="4" fillId="0" borderId="1" xfId="0" applyNumberFormat="1" applyFont="1" applyBorder="1" applyAlignment="1">
      <alignment horizontal="right"/>
    </xf>
    <xf numFmtId="176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176" fontId="0" fillId="0" borderId="1" xfId="0" applyNumberFormat="1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/>
    <xf numFmtId="176" fontId="0" fillId="0" borderId="2" xfId="0" applyNumberFormat="1" applyBorder="1"/>
    <xf numFmtId="0" fontId="3" fillId="2" borderId="3" xfId="0" applyFont="1" applyFill="1" applyBorder="1"/>
    <xf numFmtId="0" fontId="3" fillId="2" borderId="4" xfId="0" applyFont="1" applyFill="1" applyBorder="1"/>
    <xf numFmtId="176" fontId="0" fillId="0" borderId="4" xfId="0" applyNumberFormat="1" applyBorder="1"/>
    <xf numFmtId="0" fontId="2" fillId="0" borderId="4" xfId="0" applyFont="1" applyBorder="1"/>
    <xf numFmtId="0" fontId="2" fillId="0" borderId="5" xfId="0" applyFont="1" applyBorder="1"/>
    <xf numFmtId="0" fontId="4" fillId="0" borderId="6" xfId="0" applyFont="1" applyBorder="1"/>
    <xf numFmtId="0" fontId="4" fillId="0" borderId="7" xfId="0" applyFont="1" applyBorder="1"/>
  </cellXfs>
  <cellStyles count="1">
    <cellStyle name="常规" xfId="0" builtinId="0"/>
  </cellStyles>
  <dxfs count="19">
    <dxf>
      <numFmt numFmtId="176" formatCode="0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0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76" formatCode="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6" formatCode="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285750</xdr:colOff>
      <xdr:row>27</xdr:row>
      <xdr:rowOff>57150</xdr:rowOff>
    </xdr:to>
    <xdr:pic>
      <xdr:nvPicPr>
        <xdr:cNvPr id="15378" name="图片 3">
          <a:extLst>
            <a:ext uri="{FF2B5EF4-FFF2-40B4-BE49-F238E27FC236}">
              <a16:creationId xmlns:a16="http://schemas.microsoft.com/office/drawing/2014/main" id="{5553189F-419E-7D3A-0C35-80B622A23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53525" cy="494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B30:N50" totalsRowShown="0">
  <autoFilter ref="B30:N50" xr:uid="{00000000-0009-0000-0100-000001000000}"/>
  <tableColumns count="13">
    <tableColumn id="1" xr3:uid="{00000000-0010-0000-0000-000001000000}" name="Type"/>
    <tableColumn id="2" xr3:uid="{00000000-0010-0000-0000-000002000000}" name="Value"/>
    <tableColumn id="3" xr3:uid="{00000000-0010-0000-0000-000003000000}" name="KEY NO"/>
    <tableColumn id="4" xr3:uid="{00000000-0010-0000-0000-000004000000}" name="Rset"/>
    <tableColumn id="5" xr3:uid="{00000000-0010-0000-0000-000005000000}" name="RSUM"/>
    <tableColumn id="6" xr3:uid="{00000000-0010-0000-0000-000006000000}" name="VKEY"/>
    <tableColumn id="7" xr3:uid="{00000000-0010-0000-0000-000007000000}" name="KREG"/>
    <tableColumn id="8" xr3:uid="{00000000-0010-0000-0000-000008000000}" name="MIN"/>
    <tableColumn id="9" xr3:uid="{00000000-0010-0000-0000-000009000000}" name="MAX"/>
    <tableColumn id="10" xr3:uid="{00000000-0010-0000-0000-00000A000000}" name="Margin"/>
    <tableColumn id="11" xr3:uid="{00000000-0010-0000-0000-00000B000000}" name="ADC Margin"/>
    <tableColumn id="12" xr3:uid="{00000000-0010-0000-0000-00000C000000}" name="SW LOW" dataDxfId="18"/>
    <tableColumn id="13" xr3:uid="{00000000-0010-0000-0000-00000D000000}" name="SW HIGH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1_3" displayName="表1_3" ref="B53:N63" totalsRowShown="0" headerRowDxfId="16" headerRowBorderDxfId="15" tableBorderDxfId="14" totalsRowBorderDxfId="13">
  <autoFilter ref="B53:N63" xr:uid="{00000000-0009-0000-0100-000002000000}"/>
  <tableColumns count="13">
    <tableColumn id="1" xr3:uid="{00000000-0010-0000-0100-000001000000}" name="Type" dataDxfId="12"/>
    <tableColumn id="2" xr3:uid="{00000000-0010-0000-0100-000002000000}" name="Value" dataDxfId="11"/>
    <tableColumn id="3" xr3:uid="{00000000-0010-0000-0100-000003000000}" name="KEY NO" dataDxfId="10"/>
    <tableColumn id="4" xr3:uid="{00000000-0010-0000-0100-000004000000}" name="Rset" dataDxfId="9"/>
    <tableColumn id="5" xr3:uid="{00000000-0010-0000-0100-000005000000}" name="RSUM" dataDxfId="8"/>
    <tableColumn id="6" xr3:uid="{00000000-0010-0000-0100-000006000000}" name="VKEY" dataDxfId="7"/>
    <tableColumn id="7" xr3:uid="{00000000-0010-0000-0100-000007000000}" name="KREG" dataDxfId="6"/>
    <tableColumn id="8" xr3:uid="{00000000-0010-0000-0100-000008000000}" name="MIN" dataDxfId="5"/>
    <tableColumn id="9" xr3:uid="{00000000-0010-0000-0100-000009000000}" name="MAX" dataDxfId="4"/>
    <tableColumn id="10" xr3:uid="{00000000-0010-0000-0100-00000A000000}" name="Margin" dataDxfId="3"/>
    <tableColumn id="11" xr3:uid="{00000000-0010-0000-0100-00000B000000}" name="ADC Margin" dataDxfId="2"/>
    <tableColumn id="12" xr3:uid="{00000000-0010-0000-0100-00000C000000}" name="SW LOW" dataDxfId="1">
      <calculatedColumnFormula>(I54-(I54-J53)/2)*1000</calculatedColumnFormula>
    </tableColumn>
    <tableColumn id="13" xr3:uid="{00000000-0010-0000-0100-00000D000000}" name="SW HIG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8:N63"/>
  <sheetViews>
    <sheetView tabSelected="1" zoomScaleNormal="100" workbookViewId="0">
      <selection activeCell="T23" sqref="T23"/>
    </sheetView>
  </sheetViews>
  <sheetFormatPr defaultColWidth="9" defaultRowHeight="14.25" x14ac:dyDescent="0.15"/>
  <cols>
    <col min="1" max="1" width="7.625" customWidth="1"/>
    <col min="2" max="2" width="10.375" customWidth="1"/>
    <col min="3" max="7" width="7.625" customWidth="1"/>
    <col min="8" max="8" width="5.875" customWidth="1"/>
    <col min="9" max="11" width="7.625" customWidth="1"/>
    <col min="12" max="12" width="4.625" style="1" customWidth="1"/>
    <col min="13" max="13" width="8.875" customWidth="1"/>
  </cols>
  <sheetData>
    <row r="18" spans="2:14" x14ac:dyDescent="0.15">
      <c r="D18" s="2"/>
    </row>
    <row r="19" spans="2:14" x14ac:dyDescent="0.15">
      <c r="D19" s="2"/>
    </row>
    <row r="20" spans="2:14" x14ac:dyDescent="0.15">
      <c r="D20" s="2"/>
    </row>
    <row r="21" spans="2:14" x14ac:dyDescent="0.15">
      <c r="D21" s="2"/>
    </row>
    <row r="22" spans="2:14" x14ac:dyDescent="0.15">
      <c r="D22" s="2"/>
    </row>
    <row r="23" spans="2:14" x14ac:dyDescent="0.15">
      <c r="D23" s="2"/>
    </row>
    <row r="24" spans="2:14" x14ac:dyDescent="0.15">
      <c r="D24" s="2"/>
    </row>
    <row r="25" spans="2:14" x14ac:dyDescent="0.15">
      <c r="D25" s="2"/>
    </row>
    <row r="28" spans="2:14" x14ac:dyDescent="0.15">
      <c r="B28" s="10"/>
    </row>
    <row r="29" spans="2:14" x14ac:dyDescent="0.15">
      <c r="B29" s="10" t="s">
        <v>16</v>
      </c>
    </row>
    <row r="30" spans="2:14" x14ac:dyDescent="0.15">
      <c r="B30" s="3" t="s">
        <v>0</v>
      </c>
      <c r="C30" s="3" t="s">
        <v>1</v>
      </c>
      <c r="D30" s="3" t="s">
        <v>2</v>
      </c>
      <c r="E30" s="3" t="s">
        <v>3</v>
      </c>
      <c r="F30" s="3" t="s">
        <v>4</v>
      </c>
      <c r="G30" s="3" t="s">
        <v>5</v>
      </c>
      <c r="H30" s="3" t="s">
        <v>13</v>
      </c>
      <c r="I30" s="3" t="s">
        <v>6</v>
      </c>
      <c r="J30" s="3" t="s">
        <v>7</v>
      </c>
      <c r="K30" s="3" t="s">
        <v>8</v>
      </c>
      <c r="L30" s="9" t="s">
        <v>14</v>
      </c>
      <c r="M30" s="11" t="s">
        <v>18</v>
      </c>
      <c r="N30" s="11" t="s">
        <v>19</v>
      </c>
    </row>
    <row r="31" spans="2:14" x14ac:dyDescent="0.15">
      <c r="B31" s="4" t="s">
        <v>9</v>
      </c>
      <c r="C31" s="4">
        <v>3.3</v>
      </c>
      <c r="D31" s="5">
        <v>1</v>
      </c>
      <c r="E31" s="4">
        <v>0</v>
      </c>
      <c r="F31" s="4">
        <f>E31*$C$33/(E31+$C$33)</f>
        <v>0</v>
      </c>
      <c r="G31" s="6">
        <f>$C$31*F31/($C$32+F31)</f>
        <v>0</v>
      </c>
      <c r="H31" s="7">
        <f>G31*128</f>
        <v>0</v>
      </c>
      <c r="I31" s="4">
        <f>G31*0.98</f>
        <v>0</v>
      </c>
      <c r="J31" s="4">
        <f>G31*1.02</f>
        <v>0</v>
      </c>
      <c r="K31" s="4">
        <f>I32-J31</f>
        <v>6.2492753623188402E-2</v>
      </c>
      <c r="L31" s="9">
        <f>K31*128</f>
        <v>7.9990724637681154</v>
      </c>
      <c r="M31" s="12">
        <v>0</v>
      </c>
      <c r="N31" s="12">
        <f>M32-1</f>
        <v>61.492753623188399</v>
      </c>
    </row>
    <row r="32" spans="2:14" x14ac:dyDescent="0.15">
      <c r="B32" s="4" t="s">
        <v>10</v>
      </c>
      <c r="C32" s="4">
        <v>15</v>
      </c>
      <c r="D32" s="5">
        <v>2</v>
      </c>
      <c r="E32" s="4">
        <v>0.3</v>
      </c>
      <c r="F32" s="4">
        <f t="shared" ref="F32:F50" si="0">E32*$C$33/(E32+$C$33)</f>
        <v>0.29556650246305416</v>
      </c>
      <c r="G32" s="6">
        <f t="shared" ref="G32:G50" si="1">$C$31*F32/($C$32+F32)</f>
        <v>6.3768115942028983E-2</v>
      </c>
      <c r="H32" s="7">
        <f t="shared" ref="H32:H50" si="2">G32*128</f>
        <v>8.1623188405797098</v>
      </c>
      <c r="I32" s="4">
        <f t="shared" ref="I32:I50" si="3">G32*0.98</f>
        <v>6.2492753623188402E-2</v>
      </c>
      <c r="J32" s="4">
        <f t="shared" ref="J32:J50" si="4">G32*1.02</f>
        <v>6.5043478260869564E-2</v>
      </c>
      <c r="K32" s="4">
        <f t="shared" ref="K32:K48" si="5">I33-J32</f>
        <v>3.8737550526294157E-2</v>
      </c>
      <c r="L32" s="9">
        <f t="shared" ref="L32:L50" si="6">K32*128</f>
        <v>4.958406467365652</v>
      </c>
      <c r="M32" s="12">
        <f>I32*1000</f>
        <v>62.492753623188399</v>
      </c>
      <c r="N32" s="12">
        <f>(J32+(I33-J32)/2)*1000-1</f>
        <v>83.412253524016648</v>
      </c>
    </row>
    <row r="33" spans="2:14" x14ac:dyDescent="0.15">
      <c r="B33" s="4" t="s">
        <v>11</v>
      </c>
      <c r="C33" s="4">
        <v>20</v>
      </c>
      <c r="D33" s="5">
        <v>3</v>
      </c>
      <c r="E33" s="4">
        <v>0.51</v>
      </c>
      <c r="F33" s="4">
        <f t="shared" si="0"/>
        <v>0.49731838127742556</v>
      </c>
      <c r="G33" s="6">
        <f t="shared" si="1"/>
        <v>0.1058990089664936</v>
      </c>
      <c r="H33" s="7">
        <f t="shared" si="2"/>
        <v>13.55507314771118</v>
      </c>
      <c r="I33" s="4">
        <f t="shared" si="3"/>
        <v>0.10378102878716372</v>
      </c>
      <c r="J33" s="4">
        <f t="shared" si="4"/>
        <v>0.10801698914582347</v>
      </c>
      <c r="K33" s="4">
        <f t="shared" si="5"/>
        <v>4.0672666026590309E-2</v>
      </c>
      <c r="L33" s="9">
        <f t="shared" si="6"/>
        <v>5.2061012514035596</v>
      </c>
      <c r="M33" s="12">
        <f>(I33-(I33-J32)/2)*1000</f>
        <v>84.412253524016648</v>
      </c>
      <c r="N33" s="12">
        <f t="shared" ref="N33:N49" si="7">(J33+(I34-J33)/2)*1000-1</f>
        <v>127.35332215911862</v>
      </c>
    </row>
    <row r="34" spans="2:14" x14ac:dyDescent="0.15">
      <c r="B34" s="4" t="s">
        <v>12</v>
      </c>
      <c r="C34" s="4">
        <f>C31/(C33+C32)*C33</f>
        <v>1.8857142857142857</v>
      </c>
      <c r="D34" s="5">
        <v>4</v>
      </c>
      <c r="E34" s="4">
        <v>0.75</v>
      </c>
      <c r="F34" s="4">
        <f t="shared" si="0"/>
        <v>0.72289156626506024</v>
      </c>
      <c r="G34" s="6">
        <f t="shared" si="1"/>
        <v>0.15172413793103448</v>
      </c>
      <c r="H34" s="7">
        <f t="shared" si="2"/>
        <v>19.420689655172414</v>
      </c>
      <c r="I34" s="4">
        <f t="shared" si="3"/>
        <v>0.14868965517241378</v>
      </c>
      <c r="J34" s="4">
        <f t="shared" si="4"/>
        <v>0.15475862068965518</v>
      </c>
      <c r="K34" s="4">
        <f t="shared" si="5"/>
        <v>3.8316006176016409E-2</v>
      </c>
      <c r="L34" s="9">
        <f t="shared" si="6"/>
        <v>4.9044487905301004</v>
      </c>
      <c r="M34" s="12">
        <f t="shared" ref="M34:M50" si="8">(I34-(I34-J33)/2)*1000</f>
        <v>128.35332215911862</v>
      </c>
      <c r="N34" s="12">
        <f t="shared" si="7"/>
        <v>172.91662377766337</v>
      </c>
    </row>
    <row r="35" spans="2:14" x14ac:dyDescent="0.15">
      <c r="B35" s="4" t="s">
        <v>15</v>
      </c>
      <c r="C35" s="8">
        <f>C34*128</f>
        <v>241.37142857142857</v>
      </c>
      <c r="D35" s="5">
        <v>5</v>
      </c>
      <c r="E35" s="4">
        <v>1</v>
      </c>
      <c r="F35" s="4">
        <f t="shared" si="0"/>
        <v>0.95238095238095233</v>
      </c>
      <c r="G35" s="6">
        <f t="shared" si="1"/>
        <v>0.19701492537313428</v>
      </c>
      <c r="H35" s="7">
        <f t="shared" si="2"/>
        <v>25.217910447761188</v>
      </c>
      <c r="I35" s="4">
        <f t="shared" si="3"/>
        <v>0.19307462686567159</v>
      </c>
      <c r="J35" s="4">
        <f t="shared" si="4"/>
        <v>0.20095522388059697</v>
      </c>
      <c r="K35" s="4">
        <f t="shared" si="5"/>
        <v>4.2413806510141067E-2</v>
      </c>
      <c r="L35" s="9">
        <f t="shared" si="6"/>
        <v>5.4289672332980565</v>
      </c>
      <c r="M35" s="12">
        <f t="shared" si="8"/>
        <v>173.91662377766337</v>
      </c>
      <c r="N35" s="12">
        <f t="shared" si="7"/>
        <v>221.16212713566753</v>
      </c>
    </row>
    <row r="36" spans="2:14" x14ac:dyDescent="0.15">
      <c r="B36" s="4"/>
      <c r="C36" s="4"/>
      <c r="D36" s="5">
        <v>6</v>
      </c>
      <c r="E36" s="4">
        <v>1.3</v>
      </c>
      <c r="F36" s="4">
        <f t="shared" si="0"/>
        <v>1.220657276995305</v>
      </c>
      <c r="G36" s="6">
        <f t="shared" si="1"/>
        <v>0.24833574529667146</v>
      </c>
      <c r="H36" s="7">
        <f t="shared" si="2"/>
        <v>31.786975397973947</v>
      </c>
      <c r="I36" s="4">
        <f t="shared" si="3"/>
        <v>0.24336903039073804</v>
      </c>
      <c r="J36" s="4">
        <f t="shared" si="4"/>
        <v>0.25330246020260488</v>
      </c>
      <c r="K36" s="4">
        <f t="shared" si="5"/>
        <v>3.739416901087822E-2</v>
      </c>
      <c r="L36" s="9">
        <f t="shared" si="6"/>
        <v>4.7864536333924121</v>
      </c>
      <c r="M36" s="12">
        <f t="shared" si="8"/>
        <v>222.16212713566753</v>
      </c>
      <c r="N36" s="12">
        <f t="shared" si="7"/>
        <v>270.99954470804397</v>
      </c>
    </row>
    <row r="37" spans="2:14" x14ac:dyDescent="0.15">
      <c r="B37" s="4"/>
      <c r="C37" s="4"/>
      <c r="D37" s="5">
        <v>7</v>
      </c>
      <c r="E37" s="4">
        <v>1.6</v>
      </c>
      <c r="F37" s="4">
        <f t="shared" si="0"/>
        <v>1.4814814814814814</v>
      </c>
      <c r="G37" s="6">
        <f t="shared" si="1"/>
        <v>0.29662921348314603</v>
      </c>
      <c r="H37" s="7">
        <f t="shared" si="2"/>
        <v>37.968539325842691</v>
      </c>
      <c r="I37" s="4">
        <f t="shared" si="3"/>
        <v>0.2906966292134831</v>
      </c>
      <c r="J37" s="4">
        <f t="shared" si="4"/>
        <v>0.30256179775280895</v>
      </c>
      <c r="K37" s="4">
        <f t="shared" si="5"/>
        <v>4.7059823868812634E-2</v>
      </c>
      <c r="L37" s="9">
        <f t="shared" si="6"/>
        <v>6.0236574552080171</v>
      </c>
      <c r="M37" s="12">
        <f t="shared" si="8"/>
        <v>271.99954470804397</v>
      </c>
      <c r="N37" s="12">
        <f t="shared" si="7"/>
        <v>325.09170968721526</v>
      </c>
    </row>
    <row r="38" spans="2:14" x14ac:dyDescent="0.15">
      <c r="B38" s="4"/>
      <c r="C38" s="4"/>
      <c r="D38" s="5">
        <v>8</v>
      </c>
      <c r="E38" s="4">
        <v>2</v>
      </c>
      <c r="F38" s="4">
        <f t="shared" si="0"/>
        <v>1.8181818181818181</v>
      </c>
      <c r="G38" s="6">
        <f t="shared" si="1"/>
        <v>0.35675675675675672</v>
      </c>
      <c r="H38" s="7">
        <f t="shared" si="2"/>
        <v>45.66486486486486</v>
      </c>
      <c r="I38" s="4">
        <f t="shared" si="3"/>
        <v>0.34962162162162158</v>
      </c>
      <c r="J38" s="4">
        <f t="shared" si="4"/>
        <v>0.36389189189189186</v>
      </c>
      <c r="K38" s="4">
        <f t="shared" si="5"/>
        <v>4.0358108108108137E-2</v>
      </c>
      <c r="L38" s="9">
        <f t="shared" si="6"/>
        <v>5.1658378378378416</v>
      </c>
      <c r="M38" s="12">
        <f t="shared" si="8"/>
        <v>326.09170968721526</v>
      </c>
      <c r="N38" s="12">
        <f t="shared" si="7"/>
        <v>383.07094594594594</v>
      </c>
    </row>
    <row r="39" spans="2:14" x14ac:dyDescent="0.15">
      <c r="B39" s="4"/>
      <c r="C39" s="4"/>
      <c r="D39" s="5">
        <v>9</v>
      </c>
      <c r="E39" s="4">
        <v>2.4</v>
      </c>
      <c r="F39" s="4">
        <f t="shared" si="0"/>
        <v>2.1428571428571428</v>
      </c>
      <c r="G39" s="6">
        <f t="shared" si="1"/>
        <v>0.41249999999999998</v>
      </c>
      <c r="H39" s="7">
        <f t="shared" si="2"/>
        <v>52.8</v>
      </c>
      <c r="I39" s="4">
        <f t="shared" si="3"/>
        <v>0.40425</v>
      </c>
      <c r="J39" s="4">
        <f t="shared" si="4"/>
        <v>0.42074999999999996</v>
      </c>
      <c r="K39" s="4">
        <f t="shared" si="5"/>
        <v>5.8361111111111086E-2</v>
      </c>
      <c r="L39" s="9">
        <f t="shared" si="6"/>
        <v>7.470222222222219</v>
      </c>
      <c r="M39" s="12">
        <f t="shared" si="8"/>
        <v>384.07094594594594</v>
      </c>
      <c r="N39" s="12">
        <f t="shared" si="7"/>
        <v>448.93055555555549</v>
      </c>
    </row>
    <row r="40" spans="2:14" x14ac:dyDescent="0.15">
      <c r="B40" s="4"/>
      <c r="C40" s="4"/>
      <c r="D40" s="5">
        <v>10</v>
      </c>
      <c r="E40" s="4">
        <v>3</v>
      </c>
      <c r="F40" s="4">
        <f t="shared" si="0"/>
        <v>2.6086956521739131</v>
      </c>
      <c r="G40" s="6">
        <f t="shared" si="1"/>
        <v>0.48888888888888882</v>
      </c>
      <c r="H40" s="7">
        <f t="shared" si="2"/>
        <v>62.577777777777769</v>
      </c>
      <c r="I40" s="4">
        <f t="shared" si="3"/>
        <v>0.47911111111111104</v>
      </c>
      <c r="J40" s="4">
        <f t="shared" si="4"/>
        <v>0.49866666666666659</v>
      </c>
      <c r="K40" s="4">
        <f t="shared" si="5"/>
        <v>4.7924882629108101E-2</v>
      </c>
      <c r="L40" s="9">
        <f t="shared" si="6"/>
        <v>6.1343849765258369</v>
      </c>
      <c r="M40" s="12">
        <f t="shared" si="8"/>
        <v>449.93055555555549</v>
      </c>
      <c r="N40" s="12">
        <f t="shared" si="7"/>
        <v>521.62910798122061</v>
      </c>
    </row>
    <row r="41" spans="2:14" x14ac:dyDescent="0.15">
      <c r="B41" s="4"/>
      <c r="C41" s="4"/>
      <c r="D41" s="5">
        <v>11</v>
      </c>
      <c r="E41" s="4">
        <v>3.6</v>
      </c>
      <c r="F41" s="4">
        <f t="shared" si="0"/>
        <v>3.0508474576271185</v>
      </c>
      <c r="G41" s="6">
        <f t="shared" si="1"/>
        <v>0.55774647887323947</v>
      </c>
      <c r="H41" s="7">
        <f t="shared" si="2"/>
        <v>71.391549295774652</v>
      </c>
      <c r="I41" s="4">
        <f t="shared" si="3"/>
        <v>0.54659154929577469</v>
      </c>
      <c r="J41" s="4">
        <f t="shared" si="4"/>
        <v>0.56890140845070425</v>
      </c>
      <c r="K41" s="4">
        <f t="shared" si="5"/>
        <v>4.8465961138640767E-2</v>
      </c>
      <c r="L41" s="9">
        <f t="shared" si="6"/>
        <v>6.2036430257460182</v>
      </c>
      <c r="M41" s="12">
        <f t="shared" si="8"/>
        <v>522.62910798122061</v>
      </c>
      <c r="N41" s="12">
        <f t="shared" si="7"/>
        <v>592.13438902002474</v>
      </c>
    </row>
    <row r="42" spans="2:14" x14ac:dyDescent="0.15">
      <c r="B42" s="4"/>
      <c r="C42" s="4"/>
      <c r="D42" s="5">
        <v>12</v>
      </c>
      <c r="E42" s="4">
        <v>4.3</v>
      </c>
      <c r="F42" s="4">
        <f t="shared" si="0"/>
        <v>3.5390946502057612</v>
      </c>
      <c r="G42" s="6">
        <f t="shared" si="1"/>
        <v>0.62996670366259699</v>
      </c>
      <c r="H42" s="7">
        <f t="shared" si="2"/>
        <v>80.635738068812415</v>
      </c>
      <c r="I42" s="4">
        <f t="shared" si="3"/>
        <v>0.61736736958934502</v>
      </c>
      <c r="J42" s="4">
        <f t="shared" si="4"/>
        <v>0.64256603773584897</v>
      </c>
      <c r="K42" s="4">
        <f t="shared" si="5"/>
        <v>4.6813272608978607E-2</v>
      </c>
      <c r="L42" s="9">
        <f t="shared" si="6"/>
        <v>5.9920988939492617</v>
      </c>
      <c r="M42" s="12">
        <f t="shared" si="8"/>
        <v>593.13438902002474</v>
      </c>
      <c r="N42" s="12">
        <f t="shared" si="7"/>
        <v>664.97267404033823</v>
      </c>
    </row>
    <row r="43" spans="2:14" x14ac:dyDescent="0.15">
      <c r="B43" s="4"/>
      <c r="C43" s="4"/>
      <c r="D43" s="5">
        <v>13</v>
      </c>
      <c r="E43" s="4">
        <v>5.0999999999999996</v>
      </c>
      <c r="F43" s="4">
        <f t="shared" si="0"/>
        <v>4.0637450199203187</v>
      </c>
      <c r="G43" s="6">
        <f t="shared" si="1"/>
        <v>0.70344827586206893</v>
      </c>
      <c r="H43" s="7">
        <f t="shared" si="2"/>
        <v>90.041379310344823</v>
      </c>
      <c r="I43" s="4">
        <f t="shared" si="3"/>
        <v>0.68937931034482758</v>
      </c>
      <c r="J43" s="4">
        <f t="shared" si="4"/>
        <v>0.71751724137931028</v>
      </c>
      <c r="K43" s="4">
        <f t="shared" si="5"/>
        <v>5.81423330887747E-2</v>
      </c>
      <c r="L43" s="9">
        <f t="shared" si="6"/>
        <v>7.4422186353631616</v>
      </c>
      <c r="M43" s="12">
        <f t="shared" si="8"/>
        <v>665.97267404033823</v>
      </c>
      <c r="N43" s="12">
        <f t="shared" si="7"/>
        <v>745.58840792369767</v>
      </c>
    </row>
    <row r="44" spans="2:14" x14ac:dyDescent="0.15">
      <c r="B44" s="4"/>
      <c r="C44" s="4"/>
      <c r="D44" s="5">
        <v>14</v>
      </c>
      <c r="E44" s="4">
        <v>6.2</v>
      </c>
      <c r="F44" s="4">
        <f t="shared" si="0"/>
        <v>4.7328244274809164</v>
      </c>
      <c r="G44" s="6">
        <f t="shared" si="1"/>
        <v>0.79148936170212758</v>
      </c>
      <c r="H44" s="7">
        <f t="shared" si="2"/>
        <v>101.31063829787233</v>
      </c>
      <c r="I44" s="4">
        <f t="shared" si="3"/>
        <v>0.77565957446808498</v>
      </c>
      <c r="J44" s="4">
        <f t="shared" si="4"/>
        <v>0.80731914893617018</v>
      </c>
      <c r="K44" s="4">
        <f t="shared" si="5"/>
        <v>5.508085106382965E-2</v>
      </c>
      <c r="L44" s="9">
        <f t="shared" si="6"/>
        <v>7.0503489361701952</v>
      </c>
      <c r="M44" s="12">
        <f t="shared" si="8"/>
        <v>746.58840792369767</v>
      </c>
      <c r="N44" s="12">
        <f t="shared" si="7"/>
        <v>833.85957446808504</v>
      </c>
    </row>
    <row r="45" spans="2:14" x14ac:dyDescent="0.15">
      <c r="B45" s="4"/>
      <c r="C45" s="4"/>
      <c r="D45" s="5">
        <v>15</v>
      </c>
      <c r="E45" s="4">
        <v>7.5</v>
      </c>
      <c r="F45" s="4">
        <f t="shared" si="0"/>
        <v>5.4545454545454541</v>
      </c>
      <c r="G45" s="6">
        <f t="shared" si="1"/>
        <v>0.87999999999999989</v>
      </c>
      <c r="H45" s="7">
        <f t="shared" si="2"/>
        <v>112.63999999999999</v>
      </c>
      <c r="I45" s="4">
        <f t="shared" si="3"/>
        <v>0.86239999999999983</v>
      </c>
      <c r="J45" s="4">
        <f t="shared" si="4"/>
        <v>0.89759999999999995</v>
      </c>
      <c r="K45" s="4">
        <f t="shared" si="5"/>
        <v>9.7476923076923017E-2</v>
      </c>
      <c r="L45" s="9">
        <f t="shared" si="6"/>
        <v>12.477046153846146</v>
      </c>
      <c r="M45" s="12">
        <f t="shared" si="8"/>
        <v>834.85957446808504</v>
      </c>
      <c r="N45" s="12">
        <f t="shared" si="7"/>
        <v>945.3384615384615</v>
      </c>
    </row>
    <row r="46" spans="2:14" x14ac:dyDescent="0.15">
      <c r="B46" s="4"/>
      <c r="C46" s="4"/>
      <c r="D46" s="5">
        <v>16</v>
      </c>
      <c r="E46" s="4">
        <v>10</v>
      </c>
      <c r="F46" s="4">
        <f t="shared" si="0"/>
        <v>6.666666666666667</v>
      </c>
      <c r="G46" s="6">
        <f t="shared" si="1"/>
        <v>1.0153846153846153</v>
      </c>
      <c r="H46" s="7">
        <f t="shared" si="2"/>
        <v>129.96923076923076</v>
      </c>
      <c r="I46" s="4">
        <f t="shared" si="3"/>
        <v>0.99507692307692297</v>
      </c>
      <c r="J46" s="4">
        <f t="shared" si="4"/>
        <v>1.0356923076923077</v>
      </c>
      <c r="K46" s="4">
        <f t="shared" si="5"/>
        <v>7.8003056546102734E-2</v>
      </c>
      <c r="L46" s="9">
        <f t="shared" si="6"/>
        <v>9.9843912379011499</v>
      </c>
      <c r="M46" s="12">
        <f t="shared" si="8"/>
        <v>946.3384615384615</v>
      </c>
      <c r="N46" s="12">
        <f t="shared" si="7"/>
        <v>1073.6938359653591</v>
      </c>
    </row>
    <row r="47" spans="2:14" x14ac:dyDescent="0.15">
      <c r="B47" s="4"/>
      <c r="C47" s="4"/>
      <c r="D47" s="5">
        <v>17</v>
      </c>
      <c r="E47" s="4">
        <v>13</v>
      </c>
      <c r="F47" s="4">
        <f t="shared" si="0"/>
        <v>7.8787878787878789</v>
      </c>
      <c r="G47" s="6">
        <f t="shared" si="1"/>
        <v>1.1364238410596026</v>
      </c>
      <c r="H47" s="7">
        <f t="shared" si="2"/>
        <v>145.46225165562913</v>
      </c>
      <c r="I47" s="4">
        <f t="shared" si="3"/>
        <v>1.1136953642384104</v>
      </c>
      <c r="J47" s="4">
        <f t="shared" si="4"/>
        <v>1.1591523178807948</v>
      </c>
      <c r="K47" s="4">
        <f t="shared" si="5"/>
        <v>9.2718649861140534E-2</v>
      </c>
      <c r="L47" s="9">
        <f t="shared" si="6"/>
        <v>11.867987182225988</v>
      </c>
      <c r="M47" s="12">
        <f t="shared" si="8"/>
        <v>1074.6938359653591</v>
      </c>
      <c r="N47" s="12">
        <f t="shared" si="7"/>
        <v>1204.5116428113649</v>
      </c>
    </row>
    <row r="48" spans="2:14" x14ac:dyDescent="0.15">
      <c r="B48" s="4"/>
      <c r="C48" s="4"/>
      <c r="D48" s="5">
        <v>18</v>
      </c>
      <c r="E48" s="4">
        <v>18</v>
      </c>
      <c r="F48" s="4">
        <f t="shared" si="0"/>
        <v>9.473684210526315</v>
      </c>
      <c r="G48" s="6">
        <f t="shared" si="1"/>
        <v>1.2774193548387096</v>
      </c>
      <c r="H48" s="7">
        <f t="shared" si="2"/>
        <v>163.50967741935483</v>
      </c>
      <c r="I48" s="4">
        <f t="shared" si="3"/>
        <v>1.2518709677419353</v>
      </c>
      <c r="J48" s="4">
        <f t="shared" si="4"/>
        <v>1.3029677419354839</v>
      </c>
      <c r="K48" s="4">
        <f t="shared" si="5"/>
        <v>9.9731053245238899E-2</v>
      </c>
      <c r="L48" s="9">
        <f t="shared" si="6"/>
        <v>12.765574815390579</v>
      </c>
      <c r="M48" s="12">
        <f t="shared" si="8"/>
        <v>1205.5116428113649</v>
      </c>
      <c r="N48" s="12">
        <f t="shared" si="7"/>
        <v>1351.8332685581033</v>
      </c>
    </row>
    <row r="49" spans="2:14" x14ac:dyDescent="0.15">
      <c r="B49" s="4"/>
      <c r="C49" s="4"/>
      <c r="D49" s="5">
        <v>19</v>
      </c>
      <c r="E49" s="4">
        <v>27</v>
      </c>
      <c r="F49" s="4">
        <f t="shared" si="0"/>
        <v>11.48936170212766</v>
      </c>
      <c r="G49" s="6">
        <f t="shared" si="1"/>
        <v>1.4313253012048193</v>
      </c>
      <c r="H49" s="7">
        <f t="shared" si="2"/>
        <v>183.20963855421687</v>
      </c>
      <c r="I49" s="4">
        <f t="shared" si="3"/>
        <v>1.4026987951807228</v>
      </c>
      <c r="J49" s="4">
        <f t="shared" si="4"/>
        <v>1.4599518072289157</v>
      </c>
      <c r="K49" s="4">
        <f>I50-J49</f>
        <v>0.1221489121955448</v>
      </c>
      <c r="L49" s="9">
        <f t="shared" si="6"/>
        <v>15.635060761029735</v>
      </c>
      <c r="M49" s="12">
        <f t="shared" si="8"/>
        <v>1352.8332685581033</v>
      </c>
      <c r="N49" s="12">
        <f t="shared" si="7"/>
        <v>1520.026263326688</v>
      </c>
    </row>
    <row r="50" spans="2:14" x14ac:dyDescent="0.15">
      <c r="B50" s="4"/>
      <c r="C50" s="4"/>
      <c r="D50" s="5">
        <v>20</v>
      </c>
      <c r="E50" s="4">
        <v>51</v>
      </c>
      <c r="F50" s="4">
        <f t="shared" si="0"/>
        <v>14.366197183098592</v>
      </c>
      <c r="G50" s="6">
        <f t="shared" si="1"/>
        <v>1.6143884892086331</v>
      </c>
      <c r="H50" s="7">
        <f t="shared" si="2"/>
        <v>206.64172661870504</v>
      </c>
      <c r="I50" s="4">
        <f t="shared" si="3"/>
        <v>1.5821007194244605</v>
      </c>
      <c r="J50" s="4">
        <f t="shared" si="4"/>
        <v>1.6466762589928057</v>
      </c>
      <c r="K50" s="4">
        <f>1.89*0.94-J50</f>
        <v>0.12992374100719406</v>
      </c>
      <c r="L50" s="9">
        <f t="shared" si="6"/>
        <v>16.63023884892084</v>
      </c>
      <c r="M50" s="12">
        <f t="shared" si="8"/>
        <v>1521.026263326688</v>
      </c>
      <c r="N50" s="12">
        <f t="shared" ref="N50" si="9">J50*1000</f>
        <v>1646.6762589928057</v>
      </c>
    </row>
    <row r="52" spans="2:14" x14ac:dyDescent="0.15">
      <c r="B52" s="10" t="s">
        <v>17</v>
      </c>
    </row>
    <row r="53" spans="2:14" x14ac:dyDescent="0.15">
      <c r="B53" s="17" t="s">
        <v>0</v>
      </c>
      <c r="C53" s="18" t="s">
        <v>1</v>
      </c>
      <c r="D53" s="18" t="s">
        <v>2</v>
      </c>
      <c r="E53" s="18" t="s">
        <v>3</v>
      </c>
      <c r="F53" s="18" t="s">
        <v>4</v>
      </c>
      <c r="G53" s="18" t="s">
        <v>5</v>
      </c>
      <c r="H53" s="18" t="s">
        <v>13</v>
      </c>
      <c r="I53" s="18" t="s">
        <v>6</v>
      </c>
      <c r="J53" s="18" t="s">
        <v>7</v>
      </c>
      <c r="K53" s="18" t="s">
        <v>8</v>
      </c>
      <c r="L53" s="19" t="s">
        <v>14</v>
      </c>
      <c r="M53" s="20" t="s">
        <v>18</v>
      </c>
      <c r="N53" s="21" t="s">
        <v>19</v>
      </c>
    </row>
    <row r="54" spans="2:14" x14ac:dyDescent="0.15">
      <c r="B54" s="22" t="s">
        <v>9</v>
      </c>
      <c r="C54" s="4">
        <v>3.3</v>
      </c>
      <c r="D54" s="5">
        <v>1</v>
      </c>
      <c r="E54" s="4">
        <v>0</v>
      </c>
      <c r="F54" s="4">
        <f t="shared" ref="F54:F62" si="10">E54*$C$33/(E54+$C$33)</f>
        <v>0</v>
      </c>
      <c r="G54" s="6">
        <f t="shared" ref="G54:G62" si="11">$C$31*F54/($C$32+F54)</f>
        <v>0</v>
      </c>
      <c r="H54" s="7">
        <f t="shared" ref="H54:H63" si="12">G54*128</f>
        <v>0</v>
      </c>
      <c r="I54" s="4">
        <f t="shared" ref="I54:I62" si="13">G54*0.94</f>
        <v>0</v>
      </c>
      <c r="J54" s="4">
        <f t="shared" ref="J54:J62" si="14">G54*1.06</f>
        <v>0</v>
      </c>
      <c r="K54" s="4">
        <f>I55-J54</f>
        <v>9.9545068428503969E-2</v>
      </c>
      <c r="L54" s="9">
        <f t="shared" ref="L54:L62" si="15">K54*128</f>
        <v>12.741768758848508</v>
      </c>
      <c r="M54" s="12">
        <v>0</v>
      </c>
      <c r="N54" s="12">
        <f t="shared" ref="N54:N62" si="16">(J54+(I55-J54)/2)*1000-1</f>
        <v>48.772534214251984</v>
      </c>
    </row>
    <row r="55" spans="2:14" x14ac:dyDescent="0.15">
      <c r="B55" s="22" t="s">
        <v>10</v>
      </c>
      <c r="C55" s="4">
        <v>15</v>
      </c>
      <c r="D55" s="5">
        <v>2</v>
      </c>
      <c r="E55" s="4">
        <v>0.51</v>
      </c>
      <c r="F55" s="4">
        <f t="shared" si="10"/>
        <v>0.49731838127742556</v>
      </c>
      <c r="G55" s="6">
        <f t="shared" si="11"/>
        <v>0.1058990089664936</v>
      </c>
      <c r="H55" s="7">
        <f t="shared" si="12"/>
        <v>13.55507314771118</v>
      </c>
      <c r="I55" s="4">
        <f t="shared" si="13"/>
        <v>9.9545068428503969E-2</v>
      </c>
      <c r="J55" s="4">
        <f t="shared" si="14"/>
        <v>0.11225294950448322</v>
      </c>
      <c r="K55" s="4">
        <f t="shared" ref="K55:K61" si="17">I56-J55</f>
        <v>7.2941080346262982E-2</v>
      </c>
      <c r="L55" s="9">
        <f t="shared" si="15"/>
        <v>9.3364582843216617</v>
      </c>
      <c r="M55" s="12">
        <f t="shared" ref="M55:M63" si="18">(I55-(I55-J54)/2)*1000</f>
        <v>49.772534214251984</v>
      </c>
      <c r="N55" s="12">
        <f t="shared" si="16"/>
        <v>147.72348967761474</v>
      </c>
    </row>
    <row r="56" spans="2:14" x14ac:dyDescent="0.15">
      <c r="B56" s="22" t="s">
        <v>11</v>
      </c>
      <c r="C56" s="4">
        <v>20</v>
      </c>
      <c r="D56" s="5">
        <v>3</v>
      </c>
      <c r="E56" s="4">
        <v>1</v>
      </c>
      <c r="F56" s="4">
        <f t="shared" si="10"/>
        <v>0.95238095238095233</v>
      </c>
      <c r="G56" s="6">
        <f t="shared" si="11"/>
        <v>0.19701492537313428</v>
      </c>
      <c r="H56" s="7">
        <f t="shared" si="12"/>
        <v>25.217910447761188</v>
      </c>
      <c r="I56" s="4">
        <f t="shared" si="13"/>
        <v>0.18519402985074621</v>
      </c>
      <c r="J56" s="4">
        <f t="shared" si="14"/>
        <v>0.20883582089552236</v>
      </c>
      <c r="K56" s="4">
        <f t="shared" si="17"/>
        <v>6.9995639778634905E-2</v>
      </c>
      <c r="L56" s="9">
        <f t="shared" si="15"/>
        <v>8.9594418916652678</v>
      </c>
      <c r="M56" s="12">
        <f t="shared" si="18"/>
        <v>148.72348967761474</v>
      </c>
      <c r="N56" s="12">
        <f t="shared" si="16"/>
        <v>242.83364078483982</v>
      </c>
    </row>
    <row r="57" spans="2:14" x14ac:dyDescent="0.15">
      <c r="B57" s="22" t="s">
        <v>12</v>
      </c>
      <c r="C57" s="4">
        <f>C54/(C56+C55)*C56</f>
        <v>1.8857142857142857</v>
      </c>
      <c r="D57" s="5">
        <v>4</v>
      </c>
      <c r="E57" s="4">
        <v>1.6</v>
      </c>
      <c r="F57" s="4">
        <f t="shared" si="10"/>
        <v>1.4814814814814814</v>
      </c>
      <c r="G57" s="6">
        <f t="shared" si="11"/>
        <v>0.29662921348314603</v>
      </c>
      <c r="H57" s="7">
        <f t="shared" si="12"/>
        <v>37.968539325842691</v>
      </c>
      <c r="I57" s="4">
        <f t="shared" si="13"/>
        <v>0.27883146067415726</v>
      </c>
      <c r="J57" s="4">
        <f t="shared" si="14"/>
        <v>0.31442696629213479</v>
      </c>
      <c r="K57" s="4">
        <f t="shared" si="17"/>
        <v>7.3323033707865193E-2</v>
      </c>
      <c r="L57" s="9">
        <f t="shared" si="15"/>
        <v>9.3853483146067447</v>
      </c>
      <c r="M57" s="12">
        <f t="shared" si="18"/>
        <v>243.83364078483982</v>
      </c>
      <c r="N57" s="12">
        <f t="shared" si="16"/>
        <v>350.0884831460674</v>
      </c>
    </row>
    <row r="58" spans="2:14" x14ac:dyDescent="0.15">
      <c r="B58" s="22" t="s">
        <v>15</v>
      </c>
      <c r="C58" s="8">
        <f>C57*128</f>
        <v>241.37142857142857</v>
      </c>
      <c r="D58" s="5">
        <v>5</v>
      </c>
      <c r="E58" s="4">
        <v>2.4</v>
      </c>
      <c r="F58" s="4">
        <f t="shared" si="10"/>
        <v>2.1428571428571428</v>
      </c>
      <c r="G58" s="6">
        <f t="shared" si="11"/>
        <v>0.41249999999999998</v>
      </c>
      <c r="H58" s="7">
        <f t="shared" si="12"/>
        <v>52.8</v>
      </c>
      <c r="I58" s="4">
        <f t="shared" si="13"/>
        <v>0.38774999999999998</v>
      </c>
      <c r="J58" s="4">
        <f t="shared" si="14"/>
        <v>0.43724999999999997</v>
      </c>
      <c r="K58" s="4">
        <f t="shared" si="17"/>
        <v>8.7031690140845053E-2</v>
      </c>
      <c r="L58" s="9">
        <f t="shared" si="15"/>
        <v>11.140056338028167</v>
      </c>
      <c r="M58" s="12">
        <f t="shared" si="18"/>
        <v>351.0884831460674</v>
      </c>
      <c r="N58" s="12">
        <f t="shared" si="16"/>
        <v>479.76584507042253</v>
      </c>
    </row>
    <row r="59" spans="2:14" x14ac:dyDescent="0.15">
      <c r="B59" s="22"/>
      <c r="C59" s="4"/>
      <c r="D59" s="5">
        <v>6</v>
      </c>
      <c r="E59" s="4">
        <v>3.6</v>
      </c>
      <c r="F59" s="4">
        <f t="shared" si="10"/>
        <v>3.0508474576271185</v>
      </c>
      <c r="G59" s="6">
        <f t="shared" si="11"/>
        <v>0.55774647887323947</v>
      </c>
      <c r="H59" s="7">
        <f t="shared" si="12"/>
        <v>71.391549295774652</v>
      </c>
      <c r="I59" s="4">
        <f t="shared" si="13"/>
        <v>0.52428169014084502</v>
      </c>
      <c r="J59" s="4">
        <f t="shared" si="14"/>
        <v>0.59121126760563392</v>
      </c>
      <c r="K59" s="4">
        <f t="shared" si="17"/>
        <v>7.0030111704710851E-2</v>
      </c>
      <c r="L59" s="9">
        <f t="shared" si="15"/>
        <v>8.963854298202989</v>
      </c>
      <c r="M59" s="12">
        <f t="shared" si="18"/>
        <v>480.76584507042253</v>
      </c>
      <c r="N59" s="12">
        <f t="shared" si="16"/>
        <v>625.22632345798934</v>
      </c>
    </row>
    <row r="60" spans="2:14" x14ac:dyDescent="0.15">
      <c r="B60" s="22"/>
      <c r="C60" s="4"/>
      <c r="D60" s="5">
        <v>7</v>
      </c>
      <c r="E60" s="4">
        <v>5.0999999999999996</v>
      </c>
      <c r="F60" s="4">
        <f t="shared" si="10"/>
        <v>4.0637450199203187</v>
      </c>
      <c r="G60" s="6">
        <f t="shared" si="11"/>
        <v>0.70344827586206893</v>
      </c>
      <c r="H60" s="7">
        <f t="shared" si="12"/>
        <v>90.041379310344823</v>
      </c>
      <c r="I60" s="4">
        <f t="shared" si="13"/>
        <v>0.66124137931034477</v>
      </c>
      <c r="J60" s="4">
        <f t="shared" si="14"/>
        <v>0.74565517241379309</v>
      </c>
      <c r="K60" s="4">
        <f t="shared" si="17"/>
        <v>8.1544827586206736E-2</v>
      </c>
      <c r="L60" s="9">
        <f t="shared" si="15"/>
        <v>10.437737931034462</v>
      </c>
      <c r="M60" s="12">
        <f t="shared" si="18"/>
        <v>626.22632345798934</v>
      </c>
      <c r="N60" s="12">
        <f t="shared" si="16"/>
        <v>785.42758620689642</v>
      </c>
    </row>
    <row r="61" spans="2:14" x14ac:dyDescent="0.15">
      <c r="B61" s="22"/>
      <c r="C61" s="4"/>
      <c r="D61" s="5">
        <v>8</v>
      </c>
      <c r="E61" s="4">
        <v>7.5</v>
      </c>
      <c r="F61" s="4">
        <f t="shared" si="10"/>
        <v>5.4545454545454541</v>
      </c>
      <c r="G61" s="6">
        <f t="shared" si="11"/>
        <v>0.87999999999999989</v>
      </c>
      <c r="H61" s="7">
        <f t="shared" si="12"/>
        <v>112.63999999999999</v>
      </c>
      <c r="I61" s="4">
        <f t="shared" si="13"/>
        <v>0.82719999999999982</v>
      </c>
      <c r="J61" s="4">
        <f t="shared" si="14"/>
        <v>0.93279999999999996</v>
      </c>
      <c r="K61" s="4">
        <f t="shared" si="17"/>
        <v>0.13543841059602635</v>
      </c>
      <c r="L61" s="9">
        <f t="shared" si="15"/>
        <v>17.336116556291373</v>
      </c>
      <c r="M61" s="12">
        <f t="shared" si="18"/>
        <v>786.42758620689642</v>
      </c>
      <c r="N61" s="12">
        <f t="shared" si="16"/>
        <v>999.51920529801316</v>
      </c>
    </row>
    <row r="62" spans="2:14" x14ac:dyDescent="0.15">
      <c r="B62" s="22"/>
      <c r="C62" s="4"/>
      <c r="D62" s="5">
        <v>9</v>
      </c>
      <c r="E62" s="4">
        <v>13</v>
      </c>
      <c r="F62" s="4">
        <f t="shared" si="10"/>
        <v>7.8787878787878789</v>
      </c>
      <c r="G62" s="6">
        <f>$C$31*F62/($C$32+F62)</f>
        <v>1.1364238410596026</v>
      </c>
      <c r="H62" s="7">
        <f t="shared" si="12"/>
        <v>145.46225165562913</v>
      </c>
      <c r="I62" s="4">
        <f t="shared" si="13"/>
        <v>1.0682384105960263</v>
      </c>
      <c r="J62" s="4">
        <f t="shared" si="14"/>
        <v>1.2046092715231789</v>
      </c>
      <c r="K62" s="4">
        <f>I63-J62</f>
        <v>0.14083651160935107</v>
      </c>
      <c r="L62" s="9">
        <f t="shared" si="15"/>
        <v>18.027073485996937</v>
      </c>
      <c r="M62" s="12">
        <f t="shared" si="18"/>
        <v>1000.5192052980132</v>
      </c>
      <c r="N62" s="12">
        <f t="shared" si="16"/>
        <v>1274.0275273278544</v>
      </c>
    </row>
    <row r="63" spans="2:14" x14ac:dyDescent="0.15">
      <c r="B63" s="23"/>
      <c r="C63" s="13"/>
      <c r="D63" s="14">
        <v>10</v>
      </c>
      <c r="E63" s="13">
        <v>27</v>
      </c>
      <c r="F63" s="13">
        <f>E63*$C$33/(E63+$C$33)</f>
        <v>11.48936170212766</v>
      </c>
      <c r="G63" s="6">
        <f>$C$31*F63/($C$32+F63)</f>
        <v>1.4313253012048193</v>
      </c>
      <c r="H63" s="7">
        <f t="shared" si="12"/>
        <v>183.20963855421687</v>
      </c>
      <c r="I63" s="13">
        <f>G63*0.94</f>
        <v>1.3454457831325299</v>
      </c>
      <c r="J63" s="13">
        <f>G63*1.06</f>
        <v>1.5172048192771086</v>
      </c>
      <c r="K63" s="15">
        <f>C57*0.94-J63</f>
        <v>0.25536660929431987</v>
      </c>
      <c r="L63" s="16">
        <f>K63*128</f>
        <v>32.686925989672943</v>
      </c>
      <c r="M63" s="12">
        <f t="shared" si="18"/>
        <v>1275.0275273278544</v>
      </c>
      <c r="N63" s="12">
        <f>J63*1000</f>
        <v>1517.2048192771085</v>
      </c>
    </row>
  </sheetData>
  <phoneticPr fontId="1" type="noConversion"/>
  <pageMargins left="0.75" right="0.75" top="1" bottom="1" header="0.5" footer="0.5"/>
  <pageSetup paperSize="9" orientation="portrait"/>
  <headerFooter scaleWithDoc="0" alignWithMargins="0"/>
  <ignoredErrors>
    <ignoredError sqref="M54 N63" calculatedColumn="1"/>
  </ignoredErrors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356156-0932-47F5-8247-45B79A8C13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校准方案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terry_lzc@outlook.com</cp:lastModifiedBy>
  <dcterms:created xsi:type="dcterms:W3CDTF">1996-12-17T01:32:42Z</dcterms:created>
  <dcterms:modified xsi:type="dcterms:W3CDTF">2023-11-22T07:24:22Z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F976ECD5ABD349A6A710C0D9BE5A9E15</vt:lpwstr>
  </property>
</Properties>
</file>